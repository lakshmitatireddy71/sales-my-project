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42" documentId="11_E60897F41BE170836B02CE998F75CCDC64E183C8" xr6:coauthVersionLast="47" xr6:coauthVersionMax="47" xr10:uidLastSave="{ACF1E35E-95C4-420B-9E3F-3E3CE0571478}"/>
  <bookViews>
    <workbookView xWindow="240" yWindow="105" windowWidth="14805" windowHeight="8010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DATA" sheetId="2" r:id="rId5"/>
  </sheets>
  <definedNames>
    <definedName name="_xlnm._FilterDatabase" localSheetId="4" hidden="1">DATA!$L$27:$L$27</definedName>
  </definedNames>
  <calcPr calcId="191028"/>
  <pivotCaches>
    <pivotCache cacheId="46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3" l="1"/>
  <c r="E5" i="5"/>
  <c r="M9" i="2"/>
  <c r="L27" i="2"/>
  <c r="L24" i="2"/>
  <c r="L23" i="2"/>
  <c r="L21" i="2"/>
  <c r="J23" i="2"/>
  <c r="H21" i="2"/>
  <c r="F21" i="2"/>
  <c r="D22" i="2" a="1"/>
  <c r="D22" i="2"/>
  <c r="A1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J2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<sst xmlns="http://schemas.openxmlformats.org/spreadsheetml/2006/main" count="135" uniqueCount="65">
  <si>
    <t>Which product gives highest revenue</t>
  </si>
  <si>
    <t>Product</t>
  </si>
  <si>
    <t>Sum of Total_Sales</t>
  </si>
  <si>
    <t>Laptop</t>
  </si>
  <si>
    <t>Mobile</t>
  </si>
  <si>
    <t>Camera</t>
  </si>
  <si>
    <t>Tablet</t>
  </si>
  <si>
    <t>Monitor</t>
  </si>
  <si>
    <t>Printer</t>
  </si>
  <si>
    <t>Smart Watch</t>
  </si>
  <si>
    <t>Speaker</t>
  </si>
  <si>
    <t>Power Bank</t>
  </si>
  <si>
    <t>Keyboard</t>
  </si>
  <si>
    <t>Headphones</t>
  </si>
  <si>
    <t>Charger</t>
  </si>
  <si>
    <t>Mouse</t>
  </si>
  <si>
    <t>Grand Total</t>
  </si>
  <si>
    <t>Which region gives more sales</t>
  </si>
  <si>
    <t>Region</t>
  </si>
  <si>
    <t>North</t>
  </si>
  <si>
    <t>South</t>
  </si>
  <si>
    <t>West</t>
  </si>
  <si>
    <t>East</t>
  </si>
  <si>
    <t>Monthly sales growth</t>
  </si>
  <si>
    <t>Order_Date</t>
  </si>
  <si>
    <t>Which category performs best</t>
  </si>
  <si>
    <t>Category</t>
  </si>
  <si>
    <t>Electronics</t>
  </si>
  <si>
    <t>Accessories</t>
  </si>
  <si>
    <t>Order_ID</t>
  </si>
  <si>
    <t>Customer_Name</t>
  </si>
  <si>
    <t>Quantity</t>
  </si>
  <si>
    <t>Price</t>
  </si>
  <si>
    <t>Total_Sales</t>
  </si>
  <si>
    <t>Payment_Method</t>
  </si>
  <si>
    <t>Rahul</t>
  </si>
  <si>
    <t>UPI</t>
  </si>
  <si>
    <t>Sneha</t>
  </si>
  <si>
    <t>Card</t>
  </si>
  <si>
    <t>Arjun</t>
  </si>
  <si>
    <t>Cash</t>
  </si>
  <si>
    <t>Priya</t>
  </si>
  <si>
    <t>Kiran</t>
  </si>
  <si>
    <t>Meena</t>
  </si>
  <si>
    <t>Vikram</t>
  </si>
  <si>
    <t>Anjali</t>
  </si>
  <si>
    <t>Rohit</t>
  </si>
  <si>
    <t>Divya</t>
  </si>
  <si>
    <t>Suresh</t>
  </si>
  <si>
    <t>Kavya</t>
  </si>
  <si>
    <t>Ajay</t>
  </si>
  <si>
    <t>N</t>
  </si>
  <si>
    <t>Pooja</t>
  </si>
  <si>
    <t>Naveen</t>
  </si>
  <si>
    <r>
      <rPr>
        <b/>
        <sz val="11"/>
        <color rgb="FF000000"/>
        <rFont val="Calibri"/>
        <scheme val="minor"/>
      </rPr>
      <t>TOTAL SALES</t>
    </r>
    <r>
      <rPr>
        <sz val="11"/>
        <color rgb="FF000000"/>
        <rFont val="Calibri"/>
        <scheme val="minor"/>
      </rPr>
      <t xml:space="preserve"> </t>
    </r>
  </si>
  <si>
    <t>TOTAL REVENUE</t>
  </si>
  <si>
    <t xml:space="preserve">AVERAGE ODER </t>
  </si>
  <si>
    <t>COUNT</t>
  </si>
  <si>
    <t>SUM &amp; SUMIF</t>
  </si>
  <si>
    <t>COUNT :</t>
  </si>
  <si>
    <t>SUM  :</t>
  </si>
  <si>
    <t>=</t>
  </si>
  <si>
    <t>QUANTITY*PRICE</t>
  </si>
  <si>
    <t>COUNTA</t>
  </si>
  <si>
    <t>SUMIF: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</si>
</sst>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2" fillId="2" borderId="0" xfId="1" applyFill="1"/>
    <xf numFmtId="164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0" borderId="0" xfId="0" pivotButton="1"/>
  </cellXfs>
  <cellStyles count="2">
    <cellStyle name="Hyperlink" xfId="1" builtinId="8"/>
    <cellStyle name="Normal" xfId="0" builtinId="0"/>
  </cellStyles>
  <dxfs count="4">
    <dxf>
      <numFmt numFmtId="19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1.838063078707" createdVersion="8" refreshedVersion="8" minRefreshableVersion="3" recordCount="15" xr:uid="{1B3AA213-7012-48FD-994C-6B1536319B5B}">
  <cacheSource type="worksheet">
    <worksheetSource name="Table1"/>
  </cacheSource>
  <cacheFields count="10">
    <cacheField name="Order_ID" numFmtId="0">
      <sharedItems containsSemiMixedTypes="0" containsString="0" containsNumber="1" containsInteger="1" minValue="1001" maxValue="1015" count="15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</sharedItems>
    </cacheField>
    <cacheField name="Customer_Name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13">
        <s v="Laptop"/>
        <s v="Mobile"/>
        <s v="Headphones"/>
        <s v="Tablet"/>
        <s v="Smart Watch"/>
        <s v="Keyboard"/>
        <s v="Mouse"/>
        <s v="Printer"/>
        <s v="Monitor"/>
        <s v="Speaker"/>
        <s v="Charger"/>
        <s v="Camera"/>
        <s v="Power Bank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Price" numFmtId="0">
      <sharedItems containsSemiMixedTypes="0" containsString="0" containsNumber="1" containsInteger="1" minValue="700" maxValue="60000"/>
    </cacheField>
    <cacheField name="Total_Sales" numFmtId="0">
      <sharedItems containsSemiMixedTypes="0" containsString="0" containsNumber="1" containsInteger="1" minValue="4000" maxValue="60000"/>
    </cacheField>
    <cacheField name="Order_Date" numFmtId="14">
      <sharedItems containsSemiMixedTypes="0" containsNonDate="0" containsDate="1" containsString="0" minDate="2026-01-05T00:00:00" maxDate="2026-01-16T00:00:00" count="11"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</sharedItems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Rahul"/>
    <x v="0"/>
    <x v="0"/>
    <x v="0"/>
    <x v="0"/>
    <n v="55000"/>
    <n v="55000"/>
    <x v="0"/>
    <s v="UPI"/>
  </r>
  <r>
    <x v="1"/>
    <s v="Sneha"/>
    <x v="1"/>
    <x v="1"/>
    <x v="0"/>
    <x v="1"/>
    <n v="20000"/>
    <n v="40000"/>
    <x v="1"/>
    <s v="Card"/>
  </r>
  <r>
    <x v="2"/>
    <s v="Arjun"/>
    <x v="2"/>
    <x v="2"/>
    <x v="1"/>
    <x v="2"/>
    <n v="1500"/>
    <n v="4500"/>
    <x v="1"/>
    <s v="Cash"/>
  </r>
  <r>
    <x v="3"/>
    <s v="Priya"/>
    <x v="3"/>
    <x v="3"/>
    <x v="0"/>
    <x v="0"/>
    <n v="30000"/>
    <n v="30000"/>
    <x v="2"/>
    <s v="UPI"/>
  </r>
  <r>
    <x v="4"/>
    <s v="Kiran"/>
    <x v="0"/>
    <x v="4"/>
    <x v="1"/>
    <x v="1"/>
    <n v="5000"/>
    <n v="10000"/>
    <x v="3"/>
    <s v="Card"/>
  </r>
  <r>
    <x v="5"/>
    <s v="Meena"/>
    <x v="1"/>
    <x v="5"/>
    <x v="1"/>
    <x v="3"/>
    <n v="1200"/>
    <n v="4800"/>
    <x v="3"/>
    <s v="Cash"/>
  </r>
  <r>
    <x v="6"/>
    <s v="Vikram"/>
    <x v="2"/>
    <x v="6"/>
    <x v="1"/>
    <x v="4"/>
    <n v="800"/>
    <n v="4000"/>
    <x v="4"/>
    <s v="UPI"/>
  </r>
  <r>
    <x v="7"/>
    <s v="Anjali"/>
    <x v="3"/>
    <x v="7"/>
    <x v="0"/>
    <x v="0"/>
    <n v="15000"/>
    <n v="15000"/>
    <x v="5"/>
    <s v="Card"/>
  </r>
  <r>
    <x v="8"/>
    <s v="Rohit"/>
    <x v="0"/>
    <x v="8"/>
    <x v="0"/>
    <x v="1"/>
    <n v="12000"/>
    <n v="24000"/>
    <x v="6"/>
    <s v="UPI"/>
  </r>
  <r>
    <x v="9"/>
    <s v="Divya"/>
    <x v="1"/>
    <x v="9"/>
    <x v="1"/>
    <x v="2"/>
    <n v="2500"/>
    <n v="7500"/>
    <x v="7"/>
    <s v="Cash"/>
  </r>
  <r>
    <x v="10"/>
    <s v="Suresh"/>
    <x v="2"/>
    <x v="0"/>
    <x v="0"/>
    <x v="0"/>
    <n v="60000"/>
    <n v="60000"/>
    <x v="7"/>
    <s v="Card"/>
  </r>
  <r>
    <x v="11"/>
    <s v="Kavya"/>
    <x v="3"/>
    <x v="1"/>
    <x v="0"/>
    <x v="1"/>
    <n v="18000"/>
    <n v="36000"/>
    <x v="8"/>
    <s v="UPI"/>
  </r>
  <r>
    <x v="12"/>
    <s v="Ajay"/>
    <x v="0"/>
    <x v="10"/>
    <x v="1"/>
    <x v="5"/>
    <n v="700"/>
    <n v="4200"/>
    <x v="9"/>
    <s v="N"/>
  </r>
  <r>
    <x v="13"/>
    <s v="Pooja"/>
    <x v="1"/>
    <x v="11"/>
    <x v="0"/>
    <x v="0"/>
    <n v="45000"/>
    <n v="45000"/>
    <x v="10"/>
    <s v="Card"/>
  </r>
  <r>
    <x v="14"/>
    <s v="Naveen"/>
    <x v="2"/>
    <x v="12"/>
    <x v="1"/>
    <x v="3"/>
    <n v="1500"/>
    <n v="6000"/>
    <x v="1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DAAFF-A45E-41ED-8ADE-2FF705357C60}" name="PivotTable4" cacheId="4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7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 sortType="descending">
      <items count="14">
        <item x="11"/>
        <item x="10"/>
        <item x="2"/>
        <item x="5"/>
        <item x="0"/>
        <item x="1"/>
        <item x="8"/>
        <item x="6"/>
        <item x="12"/>
        <item x="7"/>
        <item x="4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</pivotFields>
  <rowFields count="1">
    <field x="3"/>
  </rowFields>
  <rowItems count="14">
    <i>
      <x v="4"/>
    </i>
    <i>
      <x v="5"/>
    </i>
    <i>
      <x/>
    </i>
    <i>
      <x v="12"/>
    </i>
    <i>
      <x v="6"/>
    </i>
    <i>
      <x v="9"/>
    </i>
    <i>
      <x v="10"/>
    </i>
    <i>
      <x v="11"/>
    </i>
    <i>
      <x v="8"/>
    </i>
    <i>
      <x v="3"/>
    </i>
    <i>
      <x v="2"/>
    </i>
    <i>
      <x v="1"/>
    </i>
    <i>
      <x v="7"/>
    </i>
    <i t="grand">
      <x/>
    </i>
  </rowItems>
  <colItems count="1">
    <i/>
  </colItems>
  <dataFields count="1">
    <dataField name="Sum of Total_Sales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EB5E0-8E24-457B-94BF-D29AF2A24839}" name="PivotTable5" cacheId="4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0">
    <pivotField compact="0" outline="0" showAll="0"/>
    <pivotField compact="0" outline="0" showAll="0"/>
    <pivotField axis="axisRow" compact="0" outline="0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</pivotFields>
  <rowFields count="1">
    <field x="2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Total_Sales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3ABD9-C404-4326-886C-FFB882F300BE}" name="PivotTable6" cacheId="4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1"/>
  <pivotFields count="10"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numFmtId="14" outline="0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8"/>
  </rowFields>
  <rowItems count="12">
    <i>
      <x v="7"/>
    </i>
    <i>
      <x/>
    </i>
    <i>
      <x v="10"/>
    </i>
    <i>
      <x v="1"/>
    </i>
    <i>
      <x v="8"/>
    </i>
    <i>
      <x v="2"/>
    </i>
    <i>
      <x v="6"/>
    </i>
    <i>
      <x v="5"/>
    </i>
    <i>
      <x v="3"/>
    </i>
    <i>
      <x v="9"/>
    </i>
    <i>
      <x v="4"/>
    </i>
    <i t="grand">
      <x/>
    </i>
  </rowItems>
  <colItems count="1">
    <i/>
  </colItems>
  <dataFields count="1">
    <dataField name="Sum of Total_Sales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C712D-27FB-4146-A5B6-6F92B3C780C9}" name="PivotTable7" cacheId="4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5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 sortType="ascending">
      <items count="14">
        <item x="11"/>
        <item x="10"/>
        <item x="2"/>
        <item x="5"/>
        <item x="0"/>
        <item x="1"/>
        <item x="8"/>
        <item x="6"/>
        <item x="12"/>
        <item x="7"/>
        <item x="4"/>
        <item x="9"/>
        <item x="3"/>
        <item t="default"/>
      </items>
    </pivotField>
    <pivotField axis="axisCol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dataField="1" compact="0" outline="0" showAll="0"/>
    <pivotField compact="0" numFmtId="14" outline="0" showAll="0"/>
    <pivotField compact="0" outline="0" showAll="0"/>
  </pivotFields>
  <rowItems count="1">
    <i/>
  </rowItems>
  <colFields count="1">
    <field x="4"/>
  </colFields>
  <colItems count="3">
    <i>
      <x v="1"/>
    </i>
    <i>
      <x/>
    </i>
    <i t="grand">
      <x/>
    </i>
  </colItems>
  <dataFields count="1">
    <dataField name="Sum of Total_Sales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47516-95B4-4D50-8B78-DC000F536947}" name="Table1" displayName="Table1" ref="A1:J16" totalsRowShown="0" headerRowDxfId="3">
  <autoFilter ref="A1:J16" xr:uid="{AF847516-95B4-4D50-8B78-DC000F536947}"/>
  <tableColumns count="10">
    <tableColumn id="1" xr3:uid="{92502F6C-747C-4185-AC69-763DA6D49DF5}" name="Order_ID" dataDxfId="2">
      <calculatedColumnFormula>ROW() - ROW(Table1[[#Headers],[Order_ID]]) + 1000</calculatedColumnFormula>
    </tableColumn>
    <tableColumn id="2" xr3:uid="{C25018A7-2679-4780-A340-D2FDB7EF5D4D}" name="Customer_Name" dataDxfId="1"/>
    <tableColumn id="3" xr3:uid="{F5EB705A-F722-41DD-9016-7D4AD5C1E9B4}" name="Region"/>
    <tableColumn id="4" xr3:uid="{4C4DBB14-C390-4245-BCA0-9FD7C951EDE1}" name="Product"/>
    <tableColumn id="5" xr3:uid="{B4E95AAD-C4DC-4C82-B4ED-7E1BD34F954D}" name="Category"/>
    <tableColumn id="6" xr3:uid="{E33E3039-321E-4097-B26B-DD4598FA566A}" name="Quantity"/>
    <tableColumn id="7" xr3:uid="{102EC185-E6CD-4FF1-BB34-74047AE7F64D}" name="Price"/>
    <tableColumn id="8" xr3:uid="{A8726D1C-6913-42B6-BD9A-97BB8D184621}" name="Total_Sales"/>
    <tableColumn id="9" xr3:uid="{53AA69AF-7747-48E1-8284-E41776D63744}" name="Order_Date" dataDxfId="0"/>
    <tableColumn id="10" xr3:uid="{BAC95F87-5209-49A0-83A6-50BD5D5CBC4E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6F3C-A577-4E73-8F4B-02E82CC3D82A}">
  <dimension ref="A2:F17"/>
  <sheetViews>
    <sheetView tabSelected="1" topLeftCell="A2" workbookViewId="0">
      <selection activeCell="F9" sqref="F9"/>
    </sheetView>
  </sheetViews>
  <sheetFormatPr defaultRowHeight="15"/>
  <cols>
    <col min="1" max="1" width="12.140625" bestFit="1" customWidth="1"/>
    <col min="2" max="2" width="17.7109375" bestFit="1" customWidth="1"/>
    <col min="6" max="6" width="16.85546875" customWidth="1"/>
  </cols>
  <sheetData>
    <row r="2" spans="1:6">
      <c r="C2" s="11" t="s">
        <v>0</v>
      </c>
      <c r="D2" s="11"/>
      <c r="E2" s="11"/>
      <c r="F2" s="11"/>
    </row>
    <row r="3" spans="1:6">
      <c r="A3" s="12" t="s">
        <v>1</v>
      </c>
      <c r="B3" t="s">
        <v>2</v>
      </c>
    </row>
    <row r="4" spans="1:6">
      <c r="A4" t="s">
        <v>3</v>
      </c>
      <c r="B4" s="10">
        <v>115000</v>
      </c>
    </row>
    <row r="5" spans="1:6">
      <c r="A5" t="s">
        <v>4</v>
      </c>
      <c r="B5" s="10">
        <v>76000</v>
      </c>
    </row>
    <row r="6" spans="1:6">
      <c r="A6" t="s">
        <v>5</v>
      </c>
      <c r="B6" s="10">
        <v>45000</v>
      </c>
    </row>
    <row r="7" spans="1:6">
      <c r="A7" t="s">
        <v>6</v>
      </c>
      <c r="B7" s="10">
        <v>30000</v>
      </c>
    </row>
    <row r="8" spans="1:6">
      <c r="A8" t="s">
        <v>7</v>
      </c>
      <c r="B8" s="10">
        <v>24000</v>
      </c>
      <c r="F8">
        <f>SUMIF(A4:A16,"Mobile",B4:B16)</f>
        <v>76000</v>
      </c>
    </row>
    <row r="9" spans="1:6">
      <c r="A9" t="s">
        <v>8</v>
      </c>
      <c r="B9" s="10">
        <v>15000</v>
      </c>
    </row>
    <row r="10" spans="1:6">
      <c r="A10" t="s">
        <v>9</v>
      </c>
      <c r="B10" s="10">
        <v>10000</v>
      </c>
    </row>
    <row r="11" spans="1:6">
      <c r="A11" t="s">
        <v>10</v>
      </c>
      <c r="B11" s="10">
        <v>7500</v>
      </c>
    </row>
    <row r="12" spans="1:6">
      <c r="A12" t="s">
        <v>11</v>
      </c>
      <c r="B12" s="10">
        <v>6000</v>
      </c>
    </row>
    <row r="13" spans="1:6">
      <c r="A13" t="s">
        <v>12</v>
      </c>
      <c r="B13" s="10">
        <v>4800</v>
      </c>
    </row>
    <row r="14" spans="1:6">
      <c r="A14" t="s">
        <v>13</v>
      </c>
      <c r="B14" s="10">
        <v>4500</v>
      </c>
    </row>
    <row r="15" spans="1:6">
      <c r="A15" t="s">
        <v>14</v>
      </c>
      <c r="B15" s="10">
        <v>4200</v>
      </c>
    </row>
    <row r="16" spans="1:6">
      <c r="A16" t="s">
        <v>15</v>
      </c>
      <c r="B16" s="10">
        <v>4000</v>
      </c>
    </row>
    <row r="17" spans="1:2">
      <c r="A17" t="s">
        <v>16</v>
      </c>
      <c r="B17" s="10">
        <v>346000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7D9F-8FA5-4A52-ADF9-A880BAC6EF50}">
  <dimension ref="A2:E8"/>
  <sheetViews>
    <sheetView workbookViewId="0">
      <selection activeCell="E6" sqref="E6"/>
    </sheetView>
  </sheetViews>
  <sheetFormatPr defaultRowHeight="15"/>
  <cols>
    <col min="1" max="1" width="11.42578125" bestFit="1" customWidth="1"/>
    <col min="2" max="2" width="17.7109375" bestFit="1" customWidth="1"/>
    <col min="3" max="3" width="27.7109375" bestFit="1" customWidth="1"/>
  </cols>
  <sheetData>
    <row r="2" spans="1:5">
      <c r="C2" s="7" t="s">
        <v>17</v>
      </c>
      <c r="D2" s="11"/>
      <c r="E2" s="11"/>
    </row>
    <row r="3" spans="1:5">
      <c r="A3" s="12" t="s">
        <v>18</v>
      </c>
      <c r="B3" t="s">
        <v>2</v>
      </c>
    </row>
    <row r="4" spans="1:5">
      <c r="A4" t="s">
        <v>19</v>
      </c>
      <c r="B4" s="10">
        <v>97300</v>
      </c>
    </row>
    <row r="5" spans="1:5">
      <c r="A5" t="s">
        <v>20</v>
      </c>
      <c r="B5" s="10">
        <v>93200</v>
      </c>
    </row>
    <row r="6" spans="1:5">
      <c r="A6" t="s">
        <v>21</v>
      </c>
      <c r="B6" s="10">
        <v>81000</v>
      </c>
    </row>
    <row r="7" spans="1:5">
      <c r="A7" t="s">
        <v>22</v>
      </c>
      <c r="B7" s="10">
        <v>74500</v>
      </c>
    </row>
    <row r="8" spans="1:5">
      <c r="A8" t="s">
        <v>16</v>
      </c>
      <c r="B8" s="10">
        <v>346000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E904-D638-4C75-98E7-D0CD61472D42}">
  <dimension ref="A1:E15"/>
  <sheetViews>
    <sheetView workbookViewId="0">
      <selection activeCell="B1" sqref="B1"/>
    </sheetView>
  </sheetViews>
  <sheetFormatPr defaultRowHeight="15"/>
  <cols>
    <col min="1" max="1" width="14.42578125" bestFit="1" customWidth="1"/>
    <col min="2" max="2" width="19.5703125" customWidth="1"/>
  </cols>
  <sheetData>
    <row r="1" spans="1:5">
      <c r="B1" s="11" t="s">
        <v>23</v>
      </c>
    </row>
    <row r="3" spans="1:5">
      <c r="A3" s="12" t="s">
        <v>24</v>
      </c>
      <c r="B3" t="s">
        <v>2</v>
      </c>
    </row>
    <row r="4" spans="1:5">
      <c r="A4" s="2">
        <v>46034</v>
      </c>
      <c r="B4" s="10">
        <v>67500</v>
      </c>
    </row>
    <row r="5" spans="1:5">
      <c r="A5" s="2">
        <v>46027</v>
      </c>
      <c r="B5" s="10">
        <v>55000</v>
      </c>
      <c r="E5" t="str">
        <f>TEXT(I2,"MMMM")</f>
        <v>January</v>
      </c>
    </row>
    <row r="6" spans="1:5">
      <c r="A6" s="2">
        <v>46037</v>
      </c>
      <c r="B6" s="10">
        <v>51000</v>
      </c>
    </row>
    <row r="7" spans="1:5">
      <c r="A7" s="2">
        <v>46028</v>
      </c>
      <c r="B7" s="10">
        <v>44500</v>
      </c>
    </row>
    <row r="8" spans="1:5">
      <c r="A8" s="2">
        <v>46035</v>
      </c>
      <c r="B8" s="10">
        <v>36000</v>
      </c>
    </row>
    <row r="9" spans="1:5">
      <c r="A9" s="2">
        <v>46029</v>
      </c>
      <c r="B9" s="10">
        <v>30000</v>
      </c>
    </row>
    <row r="10" spans="1:5">
      <c r="A10" s="2">
        <v>46033</v>
      </c>
      <c r="B10" s="10">
        <v>24000</v>
      </c>
    </row>
    <row r="11" spans="1:5">
      <c r="A11" s="2">
        <v>46032</v>
      </c>
      <c r="B11" s="10">
        <v>15000</v>
      </c>
    </row>
    <row r="12" spans="1:5">
      <c r="A12" s="2">
        <v>46030</v>
      </c>
      <c r="B12" s="10">
        <v>14800</v>
      </c>
    </row>
    <row r="13" spans="1:5">
      <c r="A13" s="2">
        <v>46036</v>
      </c>
      <c r="B13" s="10">
        <v>4200</v>
      </c>
    </row>
    <row r="14" spans="1:5">
      <c r="A14" s="2">
        <v>46031</v>
      </c>
      <c r="B14" s="10">
        <v>4000</v>
      </c>
    </row>
    <row r="15" spans="1:5">
      <c r="A15" s="2" t="s">
        <v>16</v>
      </c>
      <c r="B15" s="10">
        <v>346000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BC59-183E-4AAA-9E53-E13AEBB6DF44}">
  <dimension ref="A1:D5"/>
  <sheetViews>
    <sheetView workbookViewId="0">
      <selection activeCell="F6" sqref="F6"/>
    </sheetView>
  </sheetViews>
  <sheetFormatPr defaultRowHeight="15"/>
  <cols>
    <col min="1" max="1" width="17.7109375" bestFit="1" customWidth="1"/>
    <col min="2" max="2" width="12" bestFit="1" customWidth="1"/>
    <col min="3" max="3" width="11.140625" bestFit="1" customWidth="1"/>
    <col min="4" max="4" width="27.140625" bestFit="1" customWidth="1"/>
  </cols>
  <sheetData>
    <row r="1" spans="1:4">
      <c r="D1" s="11" t="s">
        <v>25</v>
      </c>
    </row>
    <row r="3" spans="1:4">
      <c r="B3" s="12" t="s">
        <v>26</v>
      </c>
    </row>
    <row r="4" spans="1:4">
      <c r="B4" t="s">
        <v>27</v>
      </c>
      <c r="C4" t="s">
        <v>28</v>
      </c>
      <c r="D4" t="s">
        <v>16</v>
      </c>
    </row>
    <row r="5" spans="1:4">
      <c r="A5" t="s">
        <v>2</v>
      </c>
      <c r="B5" s="10">
        <v>305000</v>
      </c>
      <c r="C5" s="10">
        <v>41000</v>
      </c>
      <c r="D5" s="10">
        <v>346000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32B4-DDD0-4AB1-AF08-D5F841224773}">
  <dimension ref="A1:Q36"/>
  <sheetViews>
    <sheetView workbookViewId="0">
      <selection activeCell="L3" sqref="L3"/>
    </sheetView>
  </sheetViews>
  <sheetFormatPr defaultRowHeight="15"/>
  <cols>
    <col min="1" max="1" width="11.28515625" bestFit="1" customWidth="1"/>
    <col min="2" max="2" width="11.42578125" bestFit="1" customWidth="1"/>
    <col min="3" max="3" width="9.28515625" bestFit="1" customWidth="1"/>
    <col min="4" max="4" width="25" bestFit="1" customWidth="1"/>
    <col min="5" max="5" width="11.140625" bestFit="1" customWidth="1"/>
    <col min="6" max="6" width="15.5703125" bestFit="1" customWidth="1"/>
    <col min="8" max="8" width="15.140625" bestFit="1" customWidth="1"/>
    <col min="9" max="9" width="13.5703125" bestFit="1" customWidth="1"/>
    <col min="10" max="10" width="19.28515625" bestFit="1" customWidth="1"/>
    <col min="12" max="12" width="33.140625" bestFit="1" customWidth="1"/>
    <col min="13" max="13" width="15.85546875" bestFit="1" customWidth="1"/>
    <col min="14" max="14" width="18.42578125" bestFit="1" customWidth="1"/>
  </cols>
  <sheetData>
    <row r="1" spans="1:17" ht="30.75">
      <c r="A1" s="3" t="s">
        <v>29</v>
      </c>
      <c r="B1" s="3" t="s">
        <v>30</v>
      </c>
      <c r="C1" s="1" t="s">
        <v>18</v>
      </c>
      <c r="D1" s="1" t="s">
        <v>1</v>
      </c>
      <c r="E1" s="1" t="s">
        <v>26</v>
      </c>
      <c r="F1" s="1" t="s">
        <v>31</v>
      </c>
      <c r="G1" s="1" t="s">
        <v>32</v>
      </c>
      <c r="H1" s="1" t="s">
        <v>33</v>
      </c>
      <c r="I1" s="1" t="s">
        <v>24</v>
      </c>
      <c r="J1" s="1" t="s">
        <v>34</v>
      </c>
    </row>
    <row r="2" spans="1:17">
      <c r="A2" s="4">
        <f>ROW() - ROW(Table1[[#Headers],[Order_ID]]) + 1000</f>
        <v>1001</v>
      </c>
      <c r="B2" s="4" t="s">
        <v>35</v>
      </c>
      <c r="C2" t="s">
        <v>20</v>
      </c>
      <c r="D2" t="s">
        <v>3</v>
      </c>
      <c r="E2" t="s">
        <v>27</v>
      </c>
      <c r="F2">
        <v>1</v>
      </c>
      <c r="G2">
        <v>55000</v>
      </c>
      <c r="H2">
        <v>55000</v>
      </c>
      <c r="I2" s="2">
        <v>46027</v>
      </c>
      <c r="J2" t="s">
        <v>36</v>
      </c>
    </row>
    <row r="3" spans="1:17">
      <c r="A3" s="4">
        <f>ROW() - ROW(Table1[[#Headers],[Order_ID]]) + 1000</f>
        <v>1002</v>
      </c>
      <c r="B3" s="4" t="s">
        <v>37</v>
      </c>
      <c r="C3" t="s">
        <v>19</v>
      </c>
      <c r="D3" t="s">
        <v>4</v>
      </c>
      <c r="E3" t="s">
        <v>27</v>
      </c>
      <c r="F3">
        <v>2</v>
      </c>
      <c r="G3">
        <v>20000</v>
      </c>
      <c r="H3">
        <v>40000</v>
      </c>
      <c r="I3" s="2">
        <v>46028</v>
      </c>
      <c r="J3" t="s">
        <v>38</v>
      </c>
      <c r="L3" t="s">
        <v>0</v>
      </c>
    </row>
    <row r="4" spans="1:17">
      <c r="A4" s="4">
        <f>ROW() - ROW(Table1[[#Headers],[Order_ID]]) + 1000</f>
        <v>1003</v>
      </c>
      <c r="B4" s="4" t="s">
        <v>39</v>
      </c>
      <c r="C4" t="s">
        <v>22</v>
      </c>
      <c r="D4" t="s">
        <v>13</v>
      </c>
      <c r="E4" t="s">
        <v>28</v>
      </c>
      <c r="F4">
        <v>3</v>
      </c>
      <c r="G4">
        <v>1500</v>
      </c>
      <c r="H4">
        <v>4500</v>
      </c>
      <c r="I4" s="2">
        <v>46028</v>
      </c>
      <c r="J4" t="s">
        <v>40</v>
      </c>
      <c r="L4" t="s">
        <v>17</v>
      </c>
      <c r="P4" s="1"/>
      <c r="Q4" s="1"/>
    </row>
    <row r="5" spans="1:17">
      <c r="A5" s="4">
        <f>ROW() - ROW(Table1[[#Headers],[Order_ID]]) + 1000</f>
        <v>1004</v>
      </c>
      <c r="B5" s="4" t="s">
        <v>41</v>
      </c>
      <c r="C5" t="s">
        <v>21</v>
      </c>
      <c r="D5" t="s">
        <v>6</v>
      </c>
      <c r="E5" t="s">
        <v>27</v>
      </c>
      <c r="F5">
        <v>1</v>
      </c>
      <c r="G5">
        <v>30000</v>
      </c>
      <c r="H5">
        <v>30000</v>
      </c>
      <c r="I5" s="2">
        <v>46029</v>
      </c>
      <c r="J5" t="s">
        <v>36</v>
      </c>
      <c r="L5" t="s">
        <v>23</v>
      </c>
    </row>
    <row r="6" spans="1:17">
      <c r="A6" s="4">
        <f>ROW() - ROW(Table1[[#Headers],[Order_ID]]) + 1000</f>
        <v>1005</v>
      </c>
      <c r="B6" s="4" t="s">
        <v>42</v>
      </c>
      <c r="C6" t="s">
        <v>20</v>
      </c>
      <c r="D6" t="s">
        <v>9</v>
      </c>
      <c r="E6" t="s">
        <v>28</v>
      </c>
      <c r="F6">
        <v>2</v>
      </c>
      <c r="G6">
        <v>5000</v>
      </c>
      <c r="H6">
        <v>10000</v>
      </c>
      <c r="I6" s="2">
        <v>46030</v>
      </c>
      <c r="J6" t="s">
        <v>38</v>
      </c>
      <c r="L6" t="s">
        <v>25</v>
      </c>
    </row>
    <row r="7" spans="1:17">
      <c r="A7" s="4">
        <f>ROW() - ROW(Table1[[#Headers],[Order_ID]]) + 1000</f>
        <v>1006</v>
      </c>
      <c r="B7" s="4" t="s">
        <v>43</v>
      </c>
      <c r="C7" t="s">
        <v>19</v>
      </c>
      <c r="D7" t="s">
        <v>12</v>
      </c>
      <c r="E7" t="s">
        <v>28</v>
      </c>
      <c r="F7">
        <v>4</v>
      </c>
      <c r="G7">
        <v>1200</v>
      </c>
      <c r="H7">
        <v>4800</v>
      </c>
      <c r="I7" s="2">
        <v>46030</v>
      </c>
      <c r="J7" t="s">
        <v>40</v>
      </c>
    </row>
    <row r="8" spans="1:17">
      <c r="A8" s="4">
        <f>ROW() - ROW(Table1[[#Headers],[Order_ID]]) + 1000</f>
        <v>1007</v>
      </c>
      <c r="B8" s="4" t="s">
        <v>44</v>
      </c>
      <c r="C8" t="s">
        <v>22</v>
      </c>
      <c r="D8" t="s">
        <v>15</v>
      </c>
      <c r="E8" t="s">
        <v>28</v>
      </c>
      <c r="F8">
        <v>5</v>
      </c>
      <c r="G8">
        <v>800</v>
      </c>
      <c r="H8">
        <v>4000</v>
      </c>
      <c r="I8" s="2">
        <v>46031</v>
      </c>
      <c r="J8" t="s">
        <v>36</v>
      </c>
    </row>
    <row r="9" spans="1:17">
      <c r="A9" s="4">
        <f>ROW() - ROW(Table1[[#Headers],[Order_ID]]) + 1000</f>
        <v>1008</v>
      </c>
      <c r="B9" s="4" t="s">
        <v>45</v>
      </c>
      <c r="C9" t="s">
        <v>21</v>
      </c>
      <c r="D9" t="s">
        <v>8</v>
      </c>
      <c r="E9" t="s">
        <v>27</v>
      </c>
      <c r="F9">
        <v>1</v>
      </c>
      <c r="G9">
        <v>15000</v>
      </c>
      <c r="H9">
        <v>15000</v>
      </c>
      <c r="I9" s="2">
        <v>46032</v>
      </c>
      <c r="J9" t="s">
        <v>38</v>
      </c>
      <c r="M9" t="str">
        <f>TEXT(I2,"MMMM")</f>
        <v>January</v>
      </c>
    </row>
    <row r="10" spans="1:17">
      <c r="A10" s="4">
        <f>ROW() - ROW(Table1[[#Headers],[Order_ID]]) + 1000</f>
        <v>1009</v>
      </c>
      <c r="B10" s="4" t="s">
        <v>46</v>
      </c>
      <c r="C10" t="s">
        <v>20</v>
      </c>
      <c r="D10" t="s">
        <v>7</v>
      </c>
      <c r="E10" t="s">
        <v>27</v>
      </c>
      <c r="F10">
        <v>2</v>
      </c>
      <c r="G10">
        <v>12000</v>
      </c>
      <c r="H10">
        <v>24000</v>
      </c>
      <c r="I10" s="2">
        <v>46033</v>
      </c>
      <c r="J10" t="s">
        <v>36</v>
      </c>
    </row>
    <row r="11" spans="1:17">
      <c r="A11" s="4">
        <f>ROW() - ROW(Table1[[#Headers],[Order_ID]]) + 1000</f>
        <v>1010</v>
      </c>
      <c r="B11" s="4" t="s">
        <v>47</v>
      </c>
      <c r="C11" t="s">
        <v>19</v>
      </c>
      <c r="D11" t="s">
        <v>10</v>
      </c>
      <c r="E11" t="s">
        <v>28</v>
      </c>
      <c r="F11">
        <v>3</v>
      </c>
      <c r="G11">
        <v>2500</v>
      </c>
      <c r="H11">
        <v>7500</v>
      </c>
      <c r="I11" s="2">
        <v>46034</v>
      </c>
      <c r="J11" t="s">
        <v>40</v>
      </c>
    </row>
    <row r="12" spans="1:17">
      <c r="A12" s="4">
        <f>ROW() - ROW(Table1[[#Headers],[Order_ID]]) + 1000</f>
        <v>1011</v>
      </c>
      <c r="B12" s="4" t="s">
        <v>48</v>
      </c>
      <c r="C12" t="s">
        <v>22</v>
      </c>
      <c r="D12" t="s">
        <v>3</v>
      </c>
      <c r="E12" t="s">
        <v>27</v>
      </c>
      <c r="F12">
        <v>1</v>
      </c>
      <c r="G12">
        <v>60000</v>
      </c>
      <c r="H12">
        <v>60000</v>
      </c>
      <c r="I12" s="2">
        <v>46034</v>
      </c>
      <c r="J12" t="s">
        <v>38</v>
      </c>
    </row>
    <row r="13" spans="1:17">
      <c r="A13" s="4">
        <f>ROW() - ROW(Table1[[#Headers],[Order_ID]]) + 1000</f>
        <v>1012</v>
      </c>
      <c r="B13" s="4" t="s">
        <v>49</v>
      </c>
      <c r="C13" t="s">
        <v>21</v>
      </c>
      <c r="D13" t="s">
        <v>4</v>
      </c>
      <c r="E13" t="s">
        <v>27</v>
      </c>
      <c r="F13">
        <v>2</v>
      </c>
      <c r="G13">
        <v>18000</v>
      </c>
      <c r="H13">
        <v>36000</v>
      </c>
      <c r="I13" s="2">
        <v>46035</v>
      </c>
      <c r="J13" t="s">
        <v>36</v>
      </c>
    </row>
    <row r="14" spans="1:17">
      <c r="A14" s="4">
        <f>ROW() - ROW(Table1[[#Headers],[Order_ID]]) + 1000</f>
        <v>1013</v>
      </c>
      <c r="B14" s="4" t="s">
        <v>50</v>
      </c>
      <c r="C14" t="s">
        <v>20</v>
      </c>
      <c r="D14" t="s">
        <v>14</v>
      </c>
      <c r="E14" t="s">
        <v>28</v>
      </c>
      <c r="F14">
        <v>6</v>
      </c>
      <c r="G14">
        <v>700</v>
      </c>
      <c r="H14">
        <v>4200</v>
      </c>
      <c r="I14" s="2">
        <v>46036</v>
      </c>
      <c r="J14" t="s">
        <v>51</v>
      </c>
    </row>
    <row r="15" spans="1:17">
      <c r="A15" s="4">
        <f>ROW() - ROW(Table1[[#Headers],[Order_ID]]) + 1000</f>
        <v>1014</v>
      </c>
      <c r="B15" s="4" t="s">
        <v>52</v>
      </c>
      <c r="C15" t="s">
        <v>19</v>
      </c>
      <c r="D15" t="s">
        <v>5</v>
      </c>
      <c r="E15" t="s">
        <v>27</v>
      </c>
      <c r="F15">
        <v>1</v>
      </c>
      <c r="G15">
        <v>45000</v>
      </c>
      <c r="H15">
        <v>45000</v>
      </c>
      <c r="I15" s="2">
        <v>46037</v>
      </c>
      <c r="J15" t="s">
        <v>38</v>
      </c>
    </row>
    <row r="16" spans="1:17">
      <c r="A16" s="4">
        <f>ROW() - ROW(Table1[[#Headers],[Order_ID]]) + 1000</f>
        <v>1015</v>
      </c>
      <c r="B16" s="4" t="s">
        <v>53</v>
      </c>
      <c r="C16" t="s">
        <v>22</v>
      </c>
      <c r="D16" t="s">
        <v>11</v>
      </c>
      <c r="E16" t="s">
        <v>28</v>
      </c>
      <c r="F16">
        <v>4</v>
      </c>
      <c r="G16">
        <v>1500</v>
      </c>
      <c r="H16">
        <v>6000</v>
      </c>
      <c r="I16" s="2">
        <v>46037</v>
      </c>
      <c r="J16" t="s">
        <v>36</v>
      </c>
    </row>
    <row r="17" spans="1:12">
      <c r="A17" s="4"/>
      <c r="B17" s="4"/>
      <c r="I17" s="2"/>
    </row>
    <row r="19" spans="1:12">
      <c r="D19" s="5" t="s">
        <v>54</v>
      </c>
      <c r="F19" s="7" t="s">
        <v>55</v>
      </c>
      <c r="H19" s="8" t="s">
        <v>56</v>
      </c>
      <c r="J19" s="11" t="s">
        <v>57</v>
      </c>
      <c r="L19" s="11" t="s">
        <v>58</v>
      </c>
    </row>
    <row r="20" spans="1:12">
      <c r="J20" t="s">
        <v>59</v>
      </c>
      <c r="L20" t="s">
        <v>60</v>
      </c>
    </row>
    <row r="21" spans="1:12">
      <c r="C21" t="s">
        <v>61</v>
      </c>
      <c r="D21" s="6" t="s">
        <v>62</v>
      </c>
      <c r="F21">
        <f>SUM(H2:H16)</f>
        <v>346000</v>
      </c>
      <c r="H21" s="10">
        <f>AVERAGE(H2:H16)</f>
        <v>23066.666666666668</v>
      </c>
      <c r="J21">
        <f>COUNT(Table1[Order_ID])</f>
        <v>15</v>
      </c>
      <c r="L21">
        <f>SUM(G2:G16)</f>
        <v>268200</v>
      </c>
    </row>
    <row r="22" spans="1:12">
      <c r="D22" cm="1">
        <f t="array" ref="D22:D36">F2:F16*G2:G16</f>
        <v>55000</v>
      </c>
      <c r="I22" s="9"/>
      <c r="J22" t="s">
        <v>63</v>
      </c>
      <c r="L22" t="s">
        <v>64</v>
      </c>
    </row>
    <row r="23" spans="1:12">
      <c r="D23">
        <v>40000</v>
      </c>
      <c r="J23">
        <f>COUNTA(Table1[Customer_Name])</f>
        <v>15</v>
      </c>
      <c r="L23">
        <f>SUMIF(B2:B16,"Vikarm",H2:H16)</f>
        <v>0</v>
      </c>
    </row>
    <row r="24" spans="1:12">
      <c r="D24">
        <v>4500</v>
      </c>
      <c r="L24">
        <f>SUMIF(B2:B16,"B5",G2:G16)</f>
        <v>0</v>
      </c>
    </row>
    <row r="25" spans="1:12">
      <c r="D25">
        <v>30000</v>
      </c>
    </row>
    <row r="26" spans="1:12">
      <c r="D26">
        <v>10000</v>
      </c>
    </row>
    <row r="27" spans="1:12">
      <c r="D27">
        <v>4800</v>
      </c>
      <c r="L27">
        <f>SUMIF(C2:C16,"East",G2:G16)</f>
        <v>63800</v>
      </c>
    </row>
    <row r="28" spans="1:12">
      <c r="D28">
        <v>4000</v>
      </c>
    </row>
    <row r="29" spans="1:12">
      <c r="D29">
        <v>15000</v>
      </c>
    </row>
    <row r="30" spans="1:12">
      <c r="D30">
        <v>24000</v>
      </c>
    </row>
    <row r="31" spans="1:12">
      <c r="D31">
        <v>7500</v>
      </c>
    </row>
    <row r="32" spans="1:12">
      <c r="D32">
        <v>60000</v>
      </c>
    </row>
    <row r="33" spans="4:4">
      <c r="D33">
        <v>36000</v>
      </c>
    </row>
    <row r="34" spans="4:4">
      <c r="D34">
        <v>4200</v>
      </c>
    </row>
    <row r="35" spans="4:4">
      <c r="D35">
        <v>45000</v>
      </c>
    </row>
    <row r="36" spans="4:4">
      <c r="D36">
        <v>6000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Tatireddy King</cp:lastModifiedBy>
  <cp:revision/>
  <dcterms:created xsi:type="dcterms:W3CDTF">2026-05-19T12:30:28Z</dcterms:created>
  <dcterms:modified xsi:type="dcterms:W3CDTF">2026-05-19T14:47:27Z</dcterms:modified>
  <cp:category/>
  <cp:contentStatus/>
</cp:coreProperties>
</file>